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ython2_T2\"/>
    </mc:Choice>
  </mc:AlternateContent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  <sheet name="Sheet4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1" l="1"/>
  <c r="E16" i="1"/>
  <c r="F11" i="1"/>
  <c r="D8" i="1"/>
  <c r="D4" i="1"/>
  <c r="E4" i="1" s="1"/>
  <c r="D5" i="1"/>
  <c r="E5" i="1" s="1"/>
  <c r="D6" i="1"/>
  <c r="F4" i="1"/>
  <c r="F5" i="1"/>
  <c r="F6" i="1"/>
  <c r="F7" i="1"/>
  <c r="F8" i="1"/>
  <c r="F9" i="1"/>
  <c r="F10" i="1"/>
  <c r="F3" i="1"/>
  <c r="E3" i="1"/>
  <c r="E6" i="1"/>
  <c r="E7" i="1"/>
  <c r="E8" i="1"/>
  <c r="E9" i="1"/>
  <c r="E10" i="1"/>
  <c r="D7" i="1"/>
  <c r="D9" i="1"/>
  <c r="D10" i="1"/>
  <c r="B12" i="1"/>
  <c r="C7" i="1"/>
  <c r="C8" i="1"/>
  <c r="C9" i="1"/>
  <c r="B11" i="1"/>
  <c r="C10" i="1" s="1"/>
  <c r="E11" i="1" l="1"/>
  <c r="C4" i="1"/>
  <c r="C6" i="1"/>
  <c r="C5" i="1"/>
  <c r="C3" i="1"/>
  <c r="D3" i="1"/>
</calcChain>
</file>

<file path=xl/sharedStrings.xml><?xml version="1.0" encoding="utf-8"?>
<sst xmlns="http://schemas.openxmlformats.org/spreadsheetml/2006/main" count="44" uniqueCount="43">
  <si>
    <t>X</t>
  </si>
  <si>
    <t>Y</t>
  </si>
  <si>
    <t>MEAN_X</t>
  </si>
  <si>
    <t>MEAN_Y</t>
  </si>
  <si>
    <t>X-XMEAN</t>
  </si>
  <si>
    <t xml:space="preserve">             Linear regression</t>
  </si>
  <si>
    <t>Y-YMEAN</t>
  </si>
  <si>
    <t>(X-XMEAN)*(Y-YMEAN)</t>
  </si>
  <si>
    <t>HSUM</t>
  </si>
  <si>
    <t>(X-XMEAN)^2</t>
  </si>
  <si>
    <t>Y= MX+C</t>
  </si>
  <si>
    <t>YMEAN=SLOPE*XMEAN+INTERCEPT</t>
  </si>
  <si>
    <t>INTERCEPT=YMEAN-SLOPE*XMEAN</t>
  </si>
  <si>
    <t>SLOPE=(X-MEAN)(Y-MEAN)SUM/(X-XMEAN)^2SUM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</si>
  <si>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</si>
  <si>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</si>
  <si>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</si>
  <si>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</si>
  <si>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</si>
  <si>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</si>
  <si>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</si>
  <si>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</si>
  <si>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</si>
  <si>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</si>
  <si>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</si>
  <si>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</si>
  <si>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</si>
  <si>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</si>
  <si>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</si>
  <si>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</si>
  <si>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</si>
  <si>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</si>
  <si>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</si>
  <si>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</si>
  <si>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</si>
  <si>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</si>
  <si>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</si>
  <si>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</si>
  <si>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</si>
  <si>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RESIDUAL OUTPUT</t>
  </si>
  <si>
    <t>Observation</t>
  </si>
  <si>
    <t>Predicted Y</t>
  </si>
  <si>
    <t>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</si>
</sst>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i/>
      <sz val="11"/>
      <color theme="1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8">
    <xf numFmtId="0" fontId="0" fillId="0" borderId="0" xfId="0"/>
    <xf numFmtId="0" fontId="1" fillId="4" borderId="2" xfId="1" applyFill="1" applyBorder="1"/>
    <xf numFmtId="0" fontId="1" fillId="4" borderId="3" xfId="1" applyFill="1" applyBorder="1"/>
    <xf numFmtId="0" fontId="0" fillId="0" borderId="0" xfId="0" applyBorder="1"/>
    <xf numFmtId="0" fontId="0" fillId="0" borderId="1" xfId="0" applyBorder="1"/>
    <xf numFmtId="0" fontId="0" fillId="4" borderId="8" xfId="1" applyFont="1" applyFill="1" applyBorder="1"/>
    <xf numFmtId="0" fontId="1" fillId="4" borderId="9" xfId="1" applyFill="1" applyBorder="1"/>
    <xf numFmtId="0" fontId="0" fillId="4" borderId="10" xfId="0" applyFill="1" applyBorder="1"/>
    <xf numFmtId="0" fontId="0" fillId="4" borderId="7" xfId="0" applyFill="1" applyBorder="1"/>
    <xf numFmtId="0" fontId="1" fillId="3" borderId="1" xfId="2" applyBorder="1"/>
    <xf numFmtId="0" fontId="1" fillId="3" borderId="11" xfId="2" applyBorder="1"/>
    <xf numFmtId="0" fontId="0" fillId="0" borderId="11" xfId="0" applyBorder="1"/>
    <xf numFmtId="0" fontId="0" fillId="4" borderId="4" xfId="0" applyFill="1" applyBorder="1"/>
    <xf numFmtId="0" fontId="0" fillId="4" borderId="5" xfId="0" applyFill="1" applyBorder="1"/>
    <xf numFmtId="0" fontId="0" fillId="0" borderId="0" xfId="0" applyFill="1" applyBorder="1" applyAlignment="1"/>
    <xf numFmtId="0" fontId="0" fillId="0" borderId="6" xfId="0" applyFill="1" applyBorder="1" applyAlignment="1"/>
    <xf numFmtId="0" fontId="2" fillId="0" borderId="12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Continuous"/>
    </xf>
  </cellXfs>
  <cellStyles count="3">
    <cellStyle name="20% - Accent1" xfId="1" builtinId="30"/>
    <cellStyle name="40% - Accent5" xfId="2" builtinId="4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Scatterplot</a:t>
            </a:r>
          </a:p>
        </c:rich>
      </c:tx>
      <c:layout>
        <c:manualLayout>
          <c:xMode val="edge"/>
          <c:yMode val="edge"/>
          <c:x val="0.40509011373578296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136482939632559E-2"/>
          <c:y val="9.3009259259259264E-2"/>
          <c:w val="0.87753018372703417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Y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Sheet1!$A$3:$A$10</c:f>
              <c:numCache>
                <c:formatCode>General</c:formatCode>
                <c:ptCount val="8"/>
                <c:pt idx="0">
                  <c:v>60</c:v>
                </c:pt>
                <c:pt idx="1">
                  <c:v>62</c:v>
                </c:pt>
                <c:pt idx="2">
                  <c:v>67</c:v>
                </c:pt>
                <c:pt idx="3">
                  <c:v>70</c:v>
                </c:pt>
                <c:pt idx="4">
                  <c:v>71</c:v>
                </c:pt>
                <c:pt idx="5">
                  <c:v>72</c:v>
                </c:pt>
                <c:pt idx="6">
                  <c:v>75</c:v>
                </c:pt>
                <c:pt idx="7">
                  <c:v>78</c:v>
                </c:pt>
              </c:numCache>
            </c:numRef>
          </c:xVal>
          <c:yVal>
            <c:numRef>
              <c:f>Sheet1!$B$3:$B$10</c:f>
              <c:numCache>
                <c:formatCode>General</c:formatCode>
                <c:ptCount val="8"/>
                <c:pt idx="0">
                  <c:v>140</c:v>
                </c:pt>
                <c:pt idx="1">
                  <c:v>155</c:v>
                </c:pt>
                <c:pt idx="2">
                  <c:v>159</c:v>
                </c:pt>
                <c:pt idx="3">
                  <c:v>179</c:v>
                </c:pt>
                <c:pt idx="4">
                  <c:v>192</c:v>
                </c:pt>
                <c:pt idx="5">
                  <c:v>200</c:v>
                </c:pt>
                <c:pt idx="6">
                  <c:v>212</c:v>
                </c:pt>
                <c:pt idx="7">
                  <c:v>215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339296"/>
        <c:axId val="2012337664"/>
      </c:scatterChart>
      <c:valAx>
        <c:axId val="201233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337664"/>
        <c:crosses val="autoZero"/>
        <c:crossBetween val="midCat"/>
      </c:valAx>
      <c:valAx>
        <c:axId val="201233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339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X Variable 1 Line Fit  Plot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Y</c:v>
          </c:tx>
          <c:spPr>
            <a:ln w="19050">
              <a:noFill/>
            </a:ln>
          </c:spPr>
          <c:xVal>
            <c:numRef>
              <c:f>Sheet1!$A$3:$A$10</c:f>
              <c:numCache>
                <c:formatCode>General</c:formatCode>
                <c:ptCount val="8"/>
                <c:pt idx="0">
                  <c:v>60</c:v>
                </c:pt>
                <c:pt idx="1">
                  <c:v>62</c:v>
                </c:pt>
                <c:pt idx="2">
                  <c:v>67</c:v>
                </c:pt>
                <c:pt idx="3">
                  <c:v>70</c:v>
                </c:pt>
                <c:pt idx="4">
                  <c:v>71</c:v>
                </c:pt>
                <c:pt idx="5">
                  <c:v>72</c:v>
                </c:pt>
                <c:pt idx="6">
                  <c:v>75</c:v>
                </c:pt>
                <c:pt idx="7">
                  <c:v>78</c:v>
                </c:pt>
              </c:numCache>
            </c:numRef>
          </c:xVal>
          <c:yVal>
            <c:numRef>
              <c:f>Sheet1!$B$3:$B$10</c:f>
              <c:numCache>
                <c:formatCode>General</c:formatCode>
                <c:ptCount val="8"/>
                <c:pt idx="0">
                  <c:v>140</c:v>
                </c:pt>
                <c:pt idx="1">
                  <c:v>155</c:v>
                </c:pt>
                <c:pt idx="2">
                  <c:v>159</c:v>
                </c:pt>
                <c:pt idx="3">
                  <c:v>179</c:v>
                </c:pt>
                <c:pt idx="4">
                  <c:v>192</c:v>
                </c:pt>
                <c:pt idx="5">
                  <c:v>200</c:v>
                </c:pt>
                <c:pt idx="6">
                  <c:v>212</c:v>
                </c:pt>
                <c:pt idx="7">
                  <c:v>215</c:v>
                </c:pt>
              </c:numCache>
            </c:numRef>
          </c:yVal>
          <c:smooth val="0"/>
        </c:ser>
        <c:ser>
          <c:idx val="1"/>
          <c:order val="1"/>
          <c:tx>
            <c:v>Predicted Y</c:v>
          </c:tx>
          <c:spPr>
            <a:ln w="19050">
              <a:noFill/>
            </a:ln>
          </c:spPr>
          <c:xVal>
            <c:numRef>
              <c:f>Sheet1!$A$3:$A$10</c:f>
              <c:numCache>
                <c:formatCode>General</c:formatCode>
                <c:ptCount val="8"/>
                <c:pt idx="0">
                  <c:v>60</c:v>
                </c:pt>
                <c:pt idx="1">
                  <c:v>62</c:v>
                </c:pt>
                <c:pt idx="2">
                  <c:v>67</c:v>
                </c:pt>
                <c:pt idx="3">
                  <c:v>70</c:v>
                </c:pt>
                <c:pt idx="4">
                  <c:v>71</c:v>
                </c:pt>
                <c:pt idx="5">
                  <c:v>72</c:v>
                </c:pt>
                <c:pt idx="6">
                  <c:v>75</c:v>
                </c:pt>
                <c:pt idx="7">
                  <c:v>78</c:v>
                </c:pt>
              </c:numCache>
            </c:numRef>
          </c:xVal>
          <c:yVal>
            <c:numRef>
              <c:f>Sheet2!$B$25:$B$32</c:f>
              <c:numCache>
                <c:formatCode>General</c:formatCode>
                <c:ptCount val="8"/>
                <c:pt idx="0">
                  <c:v>140.19848413074374</c:v>
                </c:pt>
                <c:pt idx="1">
                  <c:v>149.0094741828517</c:v>
                </c:pt>
                <c:pt idx="2">
                  <c:v>171.03694931312174</c:v>
                </c:pt>
                <c:pt idx="3">
                  <c:v>184.25343439128375</c:v>
                </c:pt>
                <c:pt idx="4">
                  <c:v>188.65892941733773</c:v>
                </c:pt>
                <c:pt idx="5">
                  <c:v>193.06442444339177</c:v>
                </c:pt>
                <c:pt idx="6">
                  <c:v>206.28090952155378</c:v>
                </c:pt>
                <c:pt idx="7">
                  <c:v>219.49739459971579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2693568"/>
        <c:axId val="2012336576"/>
      </c:scatterChart>
      <c:valAx>
        <c:axId val="8526935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X Variable 1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12336576"/>
        <c:crosses val="autoZero"/>
        <c:crossBetween val="midCat"/>
      </c:valAx>
      <c:valAx>
        <c:axId val="20123365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85269356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371475</xdr:colOff>
      <xdr:row>0</xdr:row>
      <xdr:rowOff>185737</xdr:rowOff>
    </xdr:from>
    <xdr:to>
      <xdr:col>14</xdr:col>
      <xdr:colOff>66675</xdr:colOff>
      <xdr:row>15</xdr:row>
      <xdr:rowOff>14287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A3" sqref="A3:A10"/>
    </sheetView>
  </sheetViews>
  <sheetFormatPr defaultRowHeight="15" x14ac:dyDescent="0.25"/>
  <cols>
    <col min="5" max="5" width="23.42578125" customWidth="1"/>
    <col min="6" max="6" width="22.42578125" customWidth="1"/>
  </cols>
  <sheetData>
    <row r="1" spans="1:7" x14ac:dyDescent="0.25">
      <c r="A1" t="s">
        <v>5</v>
      </c>
    </row>
    <row r="2" spans="1:7" x14ac:dyDescent="0.25">
      <c r="A2" s="9" t="s">
        <v>0</v>
      </c>
      <c r="B2" s="9" t="s">
        <v>1</v>
      </c>
      <c r="C2" s="9" t="s">
        <v>4</v>
      </c>
      <c r="D2" s="9" t="s">
        <v>6</v>
      </c>
      <c r="E2" s="9" t="s">
        <v>7</v>
      </c>
      <c r="F2" s="10" t="s">
        <v>9</v>
      </c>
    </row>
    <row r="3" spans="1:7" x14ac:dyDescent="0.25">
      <c r="A3" s="4">
        <v>60</v>
      </c>
      <c r="B3" s="4">
        <v>140</v>
      </c>
      <c r="C3" s="4">
        <f>A3-$B$11</f>
        <v>-9.375</v>
      </c>
      <c r="D3" s="4">
        <f>B3-$B$12</f>
        <v>-41.5</v>
      </c>
      <c r="E3" s="4">
        <f>C3*D3</f>
        <v>389.0625</v>
      </c>
      <c r="F3" s="11">
        <f>C3^2</f>
        <v>87.890625</v>
      </c>
      <c r="G3" s="3"/>
    </row>
    <row r="4" spans="1:7" x14ac:dyDescent="0.25">
      <c r="A4" s="4">
        <v>62</v>
      </c>
      <c r="B4" s="4">
        <v>155</v>
      </c>
      <c r="C4" s="4">
        <f t="shared" ref="C4:C10" si="0">A4-$B$11</f>
        <v>-7.375</v>
      </c>
      <c r="D4" s="4">
        <f t="shared" ref="D4:D10" si="1">B4-$B$12</f>
        <v>-26.5</v>
      </c>
      <c r="E4" s="4">
        <f t="shared" ref="E4:E10" si="2">C4*D4</f>
        <v>195.4375</v>
      </c>
      <c r="F4" s="11">
        <f t="shared" ref="F4:F10" si="3">C4^2</f>
        <v>54.390625</v>
      </c>
      <c r="G4" s="3"/>
    </row>
    <row r="5" spans="1:7" x14ac:dyDescent="0.25">
      <c r="A5" s="4">
        <v>67</v>
      </c>
      <c r="B5" s="4">
        <v>159</v>
      </c>
      <c r="C5" s="4">
        <f t="shared" si="0"/>
        <v>-2.375</v>
      </c>
      <c r="D5" s="4">
        <f t="shared" si="1"/>
        <v>-22.5</v>
      </c>
      <c r="E5" s="4">
        <f t="shared" si="2"/>
        <v>53.4375</v>
      </c>
      <c r="F5" s="11">
        <f t="shared" si="3"/>
        <v>5.640625</v>
      </c>
      <c r="G5" s="3"/>
    </row>
    <row r="6" spans="1:7" x14ac:dyDescent="0.25">
      <c r="A6" s="4">
        <v>70</v>
      </c>
      <c r="B6" s="4">
        <v>179</v>
      </c>
      <c r="C6" s="4">
        <f t="shared" si="0"/>
        <v>0.625</v>
      </c>
      <c r="D6" s="4">
        <f t="shared" si="1"/>
        <v>-2.5</v>
      </c>
      <c r="E6" s="4">
        <f t="shared" si="2"/>
        <v>-1.5625</v>
      </c>
      <c r="F6" s="11">
        <f t="shared" si="3"/>
        <v>0.390625</v>
      </c>
      <c r="G6" s="3"/>
    </row>
    <row r="7" spans="1:7" x14ac:dyDescent="0.25">
      <c r="A7" s="4">
        <v>71</v>
      </c>
      <c r="B7" s="4">
        <v>192</v>
      </c>
      <c r="C7" s="4">
        <f t="shared" si="0"/>
        <v>1.625</v>
      </c>
      <c r="D7" s="4">
        <f t="shared" si="1"/>
        <v>10.5</v>
      </c>
      <c r="E7" s="4">
        <f t="shared" si="2"/>
        <v>17.0625</v>
      </c>
      <c r="F7" s="11">
        <f t="shared" si="3"/>
        <v>2.640625</v>
      </c>
      <c r="G7" s="3"/>
    </row>
    <row r="8" spans="1:7" x14ac:dyDescent="0.25">
      <c r="A8" s="4">
        <v>72</v>
      </c>
      <c r="B8" s="4">
        <v>200</v>
      </c>
      <c r="C8" s="4">
        <f t="shared" si="0"/>
        <v>2.625</v>
      </c>
      <c r="D8" s="4">
        <f t="shared" si="1"/>
        <v>18.5</v>
      </c>
      <c r="E8" s="4">
        <f t="shared" si="2"/>
        <v>48.5625</v>
      </c>
      <c r="F8" s="11">
        <f t="shared" si="3"/>
        <v>6.890625</v>
      </c>
      <c r="G8" s="3"/>
    </row>
    <row r="9" spans="1:7" x14ac:dyDescent="0.25">
      <c r="A9" s="4">
        <v>75</v>
      </c>
      <c r="B9" s="4">
        <v>212</v>
      </c>
      <c r="C9" s="4">
        <f t="shared" si="0"/>
        <v>5.625</v>
      </c>
      <c r="D9" s="4">
        <f t="shared" si="1"/>
        <v>30.5</v>
      </c>
      <c r="E9" s="4">
        <f t="shared" si="2"/>
        <v>171.5625</v>
      </c>
      <c r="F9" s="11">
        <f t="shared" si="3"/>
        <v>31.640625</v>
      </c>
      <c r="G9" s="3"/>
    </row>
    <row r="10" spans="1:7" ht="18" customHeight="1" x14ac:dyDescent="0.25">
      <c r="A10" s="4">
        <v>78</v>
      </c>
      <c r="B10" s="4">
        <v>215</v>
      </c>
      <c r="C10" s="4">
        <f t="shared" si="0"/>
        <v>8.625</v>
      </c>
      <c r="D10" s="4">
        <f t="shared" si="1"/>
        <v>33.5</v>
      </c>
      <c r="E10" s="4">
        <f t="shared" si="2"/>
        <v>288.9375</v>
      </c>
      <c r="F10" s="11">
        <f t="shared" si="3"/>
        <v>74.390625</v>
      </c>
      <c r="G10" s="3"/>
    </row>
    <row r="11" spans="1:7" ht="15.75" thickBot="1" x14ac:dyDescent="0.3">
      <c r="A11" s="5" t="s">
        <v>2</v>
      </c>
      <c r="B11" s="6">
        <f>AVERAGE(A3:A10)</f>
        <v>69.375</v>
      </c>
      <c r="D11" s="7" t="s">
        <v>8</v>
      </c>
      <c r="E11" s="8">
        <f>SUM(E3:E10)</f>
        <v>1162.5</v>
      </c>
      <c r="F11" s="8">
        <f>SUM(F3:F10)</f>
        <v>263.875</v>
      </c>
    </row>
    <row r="12" spans="1:7" ht="15.75" thickBot="1" x14ac:dyDescent="0.3">
      <c r="A12" s="1" t="s">
        <v>3</v>
      </c>
      <c r="B12" s="2">
        <f>AVERAGE(B3:B10)</f>
        <v>181.5</v>
      </c>
    </row>
    <row r="14" spans="1:7" ht="15.75" thickBot="1" x14ac:dyDescent="0.3">
      <c r="E14" t="s">
        <v>10</v>
      </c>
    </row>
    <row r="15" spans="1:7" x14ac:dyDescent="0.25">
      <c r="E15" s="12" t="s">
        <v>13</v>
      </c>
      <c r="F15" s="13"/>
    </row>
    <row r="16" spans="1:7" ht="15.75" thickBot="1" x14ac:dyDescent="0.3">
      <c r="E16" s="7">
        <f>E11/F11</f>
        <v>4.4054950260540027</v>
      </c>
      <c r="F16" s="8"/>
    </row>
    <row r="18" spans="5:5" x14ac:dyDescent="0.25">
      <c r="E18" t="s">
        <v>11</v>
      </c>
    </row>
    <row r="19" spans="5:5" x14ac:dyDescent="0.25">
      <c r="E19" t="s">
        <v>12</v>
      </c>
    </row>
    <row r="20" spans="5:5" x14ac:dyDescent="0.25">
      <c r="E20">
        <f>B12-E16*B11</f>
        <v>-124.13121743249644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workbookViewId="0">
      <selection activeCell="H21" sqref="H21"/>
    </sheetView>
  </sheetViews>
  <sheetFormatPr defaultRowHeight="15" x14ac:dyDescent="0.25"/>
  <sheetData>
    <row r="1" spans="1:9" x14ac:dyDescent="0.25">
      <c r="A1" t="s">
        <v>14</v>
      </c>
    </row>
    <row r="2" spans="1:9" ht="15.75" thickBot="1" x14ac:dyDescent="0.3"/>
    <row r="3" spans="1:9" x14ac:dyDescent="0.25">
      <c r="A3" s="17" t="s">
        <v>15</v>
      </c>
      <c r="B3" s="17"/>
    </row>
    <row r="4" spans="1:9" x14ac:dyDescent="0.25">
      <c r="A4" s="14" t="s">
        <v>16</v>
      </c>
      <c r="B4" s="14">
        <v>0.9700956779430554</v>
      </c>
    </row>
    <row r="5" spans="1:9" x14ac:dyDescent="0.25">
      <c r="A5" s="14" t="s">
        <v>17</v>
      </c>
      <c r="B5" s="14">
        <v>0.94108562436379617</v>
      </c>
    </row>
    <row r="6" spans="1:9" x14ac:dyDescent="0.25">
      <c r="A6" s="14" t="s">
        <v>18</v>
      </c>
      <c r="B6" s="14">
        <v>0.93126656175776212</v>
      </c>
    </row>
    <row r="7" spans="1:9" x14ac:dyDescent="0.25">
      <c r="A7" s="14" t="s">
        <v>19</v>
      </c>
      <c r="B7" s="14">
        <v>7.3099479274504375</v>
      </c>
    </row>
    <row r="8" spans="1:9" ht="15.75" thickBot="1" x14ac:dyDescent="0.3">
      <c r="A8" s="15" t="s">
        <v>20</v>
      </c>
      <c r="B8" s="15">
        <v>8</v>
      </c>
    </row>
    <row r="10" spans="1:9" ht="15.75" thickBot="1" x14ac:dyDescent="0.3">
      <c r="A10" t="s">
        <v>21</v>
      </c>
    </row>
    <row r="11" spans="1:9" x14ac:dyDescent="0.25">
      <c r="A11" s="16"/>
      <c r="B11" s="16" t="s">
        <v>26</v>
      </c>
      <c r="C11" s="16" t="s">
        <v>27</v>
      </c>
      <c r="D11" s="16" t="s">
        <v>28</v>
      </c>
      <c r="E11" s="16" t="s">
        <v>29</v>
      </c>
      <c r="F11" s="16" t="s">
        <v>30</v>
      </c>
    </row>
    <row r="12" spans="1:9" x14ac:dyDescent="0.25">
      <c r="A12" s="14" t="s">
        <v>22</v>
      </c>
      <c r="B12" s="14">
        <v>1</v>
      </c>
      <c r="C12" s="14">
        <v>5121.3879677877785</v>
      </c>
      <c r="D12" s="14">
        <v>5121.3879677877785</v>
      </c>
      <c r="E12" s="14">
        <v>95.842715554688752</v>
      </c>
      <c r="F12" s="14">
        <v>6.5365731811651109E-5</v>
      </c>
    </row>
    <row r="13" spans="1:9" x14ac:dyDescent="0.25">
      <c r="A13" s="14" t="s">
        <v>23</v>
      </c>
      <c r="B13" s="14">
        <v>6</v>
      </c>
      <c r="C13" s="14">
        <v>320.61203221222172</v>
      </c>
      <c r="D13" s="14">
        <v>53.435338702036951</v>
      </c>
      <c r="E13" s="14"/>
      <c r="F13" s="14"/>
    </row>
    <row r="14" spans="1:9" ht="15.75" thickBot="1" x14ac:dyDescent="0.3">
      <c r="A14" s="15" t="s">
        <v>24</v>
      </c>
      <c r="B14" s="15">
        <v>7</v>
      </c>
      <c r="C14" s="15">
        <v>5442</v>
      </c>
      <c r="D14" s="15"/>
      <c r="E14" s="15"/>
      <c r="F14" s="15"/>
    </row>
    <row r="15" spans="1:9" ht="15.75" thickBot="1" x14ac:dyDescent="0.3"/>
    <row r="16" spans="1:9" x14ac:dyDescent="0.25">
      <c r="A16" s="16"/>
      <c r="B16" s="16" t="s">
        <v>31</v>
      </c>
      <c r="C16" s="16" t="s">
        <v>19</v>
      </c>
      <c r="D16" s="16" t="s">
        <v>32</v>
      </c>
      <c r="E16" s="16" t="s">
        <v>33</v>
      </c>
      <c r="F16" s="16" t="s">
        <v>34</v>
      </c>
      <c r="G16" s="16" t="s">
        <v>35</v>
      </c>
      <c r="H16" s="16" t="s">
        <v>36</v>
      </c>
      <c r="I16" s="16" t="s">
        <v>37</v>
      </c>
    </row>
    <row r="17" spans="1:9" x14ac:dyDescent="0.25">
      <c r="A17" s="14" t="s">
        <v>25</v>
      </c>
      <c r="B17" s="14">
        <v>-124.13121743249644</v>
      </c>
      <c r="C17" s="14">
        <v>31.325734570127178</v>
      </c>
      <c r="D17" s="14">
        <v>-3.9625955827024835</v>
      </c>
      <c r="E17" s="14">
        <v>7.4296425742683978E-3</v>
      </c>
      <c r="F17" s="14">
        <v>-200.78252859796231</v>
      </c>
      <c r="G17" s="14">
        <v>-47.479906267030572</v>
      </c>
      <c r="H17" s="14">
        <v>-200.78252859796231</v>
      </c>
      <c r="I17" s="14">
        <v>-47.479906267030572</v>
      </c>
    </row>
    <row r="18" spans="1:9" ht="15.75" thickBot="1" x14ac:dyDescent="0.3">
      <c r="A18" s="15" t="s">
        <v>38</v>
      </c>
      <c r="B18" s="15">
        <v>4.4054950260540027</v>
      </c>
      <c r="C18" s="15">
        <v>0.45000274203927759</v>
      </c>
      <c r="D18" s="15">
        <v>9.789929292629683</v>
      </c>
      <c r="E18" s="15">
        <v>6.5365731811651231E-5</v>
      </c>
      <c r="F18" s="15">
        <v>3.3043779835103617</v>
      </c>
      <c r="G18" s="15">
        <v>5.5066120685976436</v>
      </c>
      <c r="H18" s="15">
        <v>3.3043779835103617</v>
      </c>
      <c r="I18" s="15">
        <v>5.5066120685976436</v>
      </c>
    </row>
    <row r="22" spans="1:9" x14ac:dyDescent="0.25">
      <c r="A22" t="s">
        <v>39</v>
      </c>
    </row>
    <row r="23" spans="1:9" ht="15.75" thickBot="1" x14ac:dyDescent="0.3"/>
    <row r="24" spans="1:9" x14ac:dyDescent="0.25">
      <c r="A24" s="16" t="s">
        <v>40</v>
      </c>
      <c r="B24" s="16" t="s">
        <v>41</v>
      </c>
      <c r="C24" s="16" t="s">
        <v>42</v>
      </c>
    </row>
    <row r="25" spans="1:9" x14ac:dyDescent="0.25">
      <c r="A25" s="14">
        <v>1</v>
      </c>
      <c r="B25" s="14">
        <v>140.19848413074374</v>
      </c>
      <c r="C25" s="14">
        <v>-0.19848413074373639</v>
      </c>
    </row>
    <row r="26" spans="1:9" x14ac:dyDescent="0.25">
      <c r="A26" s="14">
        <v>2</v>
      </c>
      <c r="B26" s="14">
        <v>149.0094741828517</v>
      </c>
      <c r="C26" s="14">
        <v>5.9905258171482956</v>
      </c>
    </row>
    <row r="27" spans="1:9" x14ac:dyDescent="0.25">
      <c r="A27" s="14">
        <v>3</v>
      </c>
      <c r="B27" s="14">
        <v>171.03694931312174</v>
      </c>
      <c r="C27" s="14">
        <v>-12.036949313121738</v>
      </c>
    </row>
    <row r="28" spans="1:9" x14ac:dyDescent="0.25">
      <c r="A28" s="14">
        <v>4</v>
      </c>
      <c r="B28" s="14">
        <v>184.25343439128375</v>
      </c>
      <c r="C28" s="14">
        <v>-5.2534343912837471</v>
      </c>
    </row>
    <row r="29" spans="1:9" x14ac:dyDescent="0.25">
      <c r="A29" s="14">
        <v>5</v>
      </c>
      <c r="B29" s="14">
        <v>188.65892941733773</v>
      </c>
      <c r="C29" s="14">
        <v>3.3410705826622689</v>
      </c>
    </row>
    <row r="30" spans="1:9" x14ac:dyDescent="0.25">
      <c r="A30" s="14">
        <v>6</v>
      </c>
      <c r="B30" s="14">
        <v>193.06442444339177</v>
      </c>
      <c r="C30" s="14">
        <v>6.935575556608228</v>
      </c>
    </row>
    <row r="31" spans="1:9" x14ac:dyDescent="0.25">
      <c r="A31" s="14">
        <v>7</v>
      </c>
      <c r="B31" s="14">
        <v>206.28090952155378</v>
      </c>
      <c r="C31" s="14">
        <v>5.7190904784462191</v>
      </c>
    </row>
    <row r="32" spans="1:9" ht="15.75" thickBot="1" x14ac:dyDescent="0.3">
      <c r="A32" s="15">
        <v>8</v>
      </c>
      <c r="B32" s="15">
        <v>219.49739459971579</v>
      </c>
      <c r="C32" s="15">
        <v>-4.4973945997157898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LJENG</dc:creator>
  <cp:lastModifiedBy>LJENG</cp:lastModifiedBy>
  <dcterms:created xsi:type="dcterms:W3CDTF">2026-02-03T08:36:18Z</dcterms:created>
  <dcterms:modified xsi:type="dcterms:W3CDTF">2026-02-03T09:17:35Z</dcterms:modified>
</cp:coreProperties>
</file>